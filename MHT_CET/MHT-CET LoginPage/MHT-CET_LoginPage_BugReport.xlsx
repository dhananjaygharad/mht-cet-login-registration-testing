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3da4701092726d5/Testing/MHT_CET/MHT-CET LoginPage/"/>
    </mc:Choice>
  </mc:AlternateContent>
  <xr:revisionPtr revIDLastSave="82" documentId="8_{B0969F3E-CA5E-49DE-A1D6-2EAF886E637C}" xr6:coauthVersionLast="47" xr6:coauthVersionMax="47" xr10:uidLastSave="{0B71613A-3AE5-4F60-A73B-E9E3F6C7F8EF}"/>
  <bookViews>
    <workbookView xWindow="-108" yWindow="-108" windowWidth="23256" windowHeight="12456" activeTab="2" xr2:uid="{00000000-000D-0000-FFFF-FFFF00000000}"/>
  </bookViews>
  <sheets>
    <sheet name="Version History" sheetId="1" r:id="rId1"/>
    <sheet name="Bug Summary" sheetId="2" r:id="rId2"/>
    <sheet name="MHT CET Login Bu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2" l="1"/>
  <c r="F30" i="2"/>
  <c r="E30" i="2"/>
  <c r="D30" i="2"/>
</calcChain>
</file>

<file path=xl/sharedStrings.xml><?xml version="1.0" encoding="utf-8"?>
<sst xmlns="http://schemas.openxmlformats.org/spreadsheetml/2006/main" count="443" uniqueCount="286">
  <si>
    <t>VERSION HISTORY</t>
  </si>
  <si>
    <t>Project Name</t>
  </si>
  <si>
    <t>MHT CET Login Page Testing</t>
  </si>
  <si>
    <t>Client</t>
  </si>
  <si>
    <t>State CET Cell, Maharashtra State</t>
  </si>
  <si>
    <t>Reference Document</t>
  </si>
  <si>
    <t>FRS – MHT CET Login Page</t>
  </si>
  <si>
    <t>Created By</t>
  </si>
  <si>
    <t>Dhananjay Gharad</t>
  </si>
  <si>
    <t>Creation Date</t>
  </si>
  <si>
    <t>15-Feb-2026</t>
  </si>
  <si>
    <t>Approval Date</t>
  </si>
  <si>
    <t>22-Mar-2026</t>
  </si>
  <si>
    <t>BUG REPORT SUMMARY — MHT-CET LOGIN PAGE</t>
  </si>
  <si>
    <t>Total Defects Found</t>
  </si>
  <si>
    <t>High Priority Bugs</t>
  </si>
  <si>
    <t>Medium Priority Bugs</t>
  </si>
  <si>
    <t>Low Priority Bugs</t>
  </si>
  <si>
    <t>Status</t>
  </si>
  <si>
    <t>Open</t>
  </si>
  <si>
    <t>SEVERITY BREAKDOWN</t>
  </si>
  <si>
    <t>Severity</t>
  </si>
  <si>
    <t>Count</t>
  </si>
  <si>
    <t>Critical</t>
  </si>
  <si>
    <t>High</t>
  </si>
  <si>
    <t>Medium</t>
  </si>
  <si>
    <t>Low</t>
  </si>
  <si>
    <t>MODULE-WISE DEFECT SUMMARY</t>
  </si>
  <si>
    <t>Module / Section</t>
  </si>
  <si>
    <t>Total Bugs</t>
  </si>
  <si>
    <t>Header Section &gt; CET Cell Logo</t>
  </si>
  <si>
    <t>Login Section &gt; Email Field</t>
  </si>
  <si>
    <t>Login Section &gt; Password Field</t>
  </si>
  <si>
    <t>Login Section &gt; Forgot Password Link</t>
  </si>
  <si>
    <t>Login Section &gt; Sign In Button</t>
  </si>
  <si>
    <t>Login Section &gt; New User Register Section</t>
  </si>
  <si>
    <t>Login Section &gt; Help &amp; Resource Links</t>
  </si>
  <si>
    <t>Helpdesk Information Section</t>
  </si>
  <si>
    <t>Footer Section &gt; Social Media Icons</t>
  </si>
  <si>
    <t>Cross Browser Compatibility</t>
  </si>
  <si>
    <t>Mobile &amp; Tablet Responsiveness</t>
  </si>
  <si>
    <t>Usability Testing</t>
  </si>
  <si>
    <t>TOTAL</t>
  </si>
  <si>
    <t>Bug ID</t>
  </si>
  <si>
    <t>Test Case ID</t>
  </si>
  <si>
    <t>Test Scenario</t>
  </si>
  <si>
    <t>Bug Summary</t>
  </si>
  <si>
    <t>Steps to Reproduce</t>
  </si>
  <si>
    <t>Expected Result</t>
  </si>
  <si>
    <t>Actual Result</t>
  </si>
  <si>
    <t>Priority</t>
  </si>
  <si>
    <t>Comments</t>
  </si>
  <si>
    <t>TC_LSCETLogo_10</t>
  </si>
  <si>
    <t>(TS003) HS CETCellLogo</t>
  </si>
  <si>
    <t>CET Cell logo is not visible on small mobile screen at resolution 375x667</t>
  </si>
  <si>
    <t>1. Open developer tools.
2. Switch to mobile resolution 375x667.
3. Navigate to the login page.
4. Observe the header section.
5. Check the CET Cell logo visibility.</t>
  </si>
  <si>
    <t>CET Cell logo should be visible in the header on mobile view at 375x667.</t>
  </si>
  <si>
    <t>CET Cell logo was not visible in the header on smaller mobile screens at 375x667.</t>
  </si>
  <si>
    <t>Minor</t>
  </si>
  <si>
    <t>P3 (Medium)</t>
  </si>
  <si>
    <t>Logo hidden on small mobile – check CSS visibility/size for CET logo at mobile breakpoints</t>
  </si>
  <si>
    <t>TC_LSEmail_15</t>
  </si>
  <si>
    <t>(TS006) LS EmailField</t>
  </si>
  <si>
    <t>Leading spaces in the Registered Email ID field are not trimmed automatically</t>
  </si>
  <si>
    <t>1. Open the web browser.
2. Enter the login page URL in the address bar.
3. Press Enter to load the page.
4. Enter ' dhananjaygharad44@gmail.com' (with leading space) in the email field.
5. Move to another field.
6. Observe system behavior.</t>
  </si>
  <si>
    <t>System should automatically trim leading spaces from the email field and then validate the email.</t>
  </si>
  <si>
    <t>Leading spaces are not trimmed automatically; the email input is accepted as-is without trimming.</t>
  </si>
  <si>
    <t>Email field not trimmed before validation – add trim() on email field input before processing</t>
  </si>
  <si>
    <t>TC_LSEmail_23</t>
  </si>
  <si>
    <t>Email field accepts extremely long email input beyond the allowed character limit</t>
  </si>
  <si>
    <t>1. Open the web browser.
2. Enter the login page URL in the address bar.
3. Press Enter to load the page.
4. Enter a very long email string (200+ characters) in the email field.
5. Move to another field.
6. Observe system behavior.</t>
  </si>
  <si>
    <t>System should restrict email field input beyond the allowed maximum character limit.</t>
  </si>
  <si>
    <t>System allows extremely long email input without any restriction or truncation.</t>
  </si>
  <si>
    <t>maxlength not enforced on email field – add character limit restriction to email input</t>
  </si>
  <si>
    <t>TC_LSEmail_25</t>
  </si>
  <si>
    <t>System accepts emoji characters in the Registered Email ID field without any validation error</t>
  </si>
  <si>
    <t>1. Open the web browser.
2. Enter the login page URL in the address bar.
3. Press Enter to load the page.
4. Enter 'dhananjay😊@gmail.com' in the email field.
5. Move to another field.
6. Observe validation message.</t>
  </si>
  <si>
    <t>System should reject unsupported emoji characters in the email field.</t>
  </si>
  <si>
    <t>System accepts emoji characters in the email field without displaying any validation error.</t>
  </si>
  <si>
    <t>Emoji characters accepted in email – update email regex to block unsupported unicode characters</t>
  </si>
  <si>
    <t>TC_LSEmail_26</t>
  </si>
  <si>
    <t>Email field clears the entered value after a failed login attempt</t>
  </si>
  <si>
    <t>1. Open the web browser.
2. Enter the login page URL in the address bar.
3. Press Enter to load the page.
4. Enter a valid email in the email field.
5. Enter a wrong password.
6. Click Sign In.
7. Observe the email field after failure.</t>
  </si>
  <si>
    <t>Email field should retain the entered value after a failed login attempt so the user does not need to re-enter it.</t>
  </si>
  <si>
    <t>Email field is cleared after a failed login attempt forcing the user to re-enter the email.</t>
  </si>
  <si>
    <t>Email value lost on failed login – retain email field value after failed authentication</t>
  </si>
  <si>
    <t>TC_LSPwd_10</t>
  </si>
  <si>
    <t>(TS007) LS PasswordField</t>
  </si>
  <si>
    <t>Password field accepts a password with a leading space without any validation error</t>
  </si>
  <si>
    <t>1. Open the web browser.
2. Enter the login page URL in the address bar.
3. Press Enter to load the page.
4. Enter ' Abc@1234' (with leading space) in the password field.
5. Click Sign In.</t>
  </si>
  <si>
    <t>System should display a validation error when a password with a leading space is entered.</t>
  </si>
  <si>
    <t>System allowed password with leading space to pass without any validation error.</t>
  </si>
  <si>
    <t>Leading space in password not rejected – add leading space check in password field validation logic</t>
  </si>
  <si>
    <t>TC_LSPwd_17</t>
  </si>
  <si>
    <t>System accepts emoji characters in the Password field without any validation error</t>
  </si>
  <si>
    <t>1. Open the web browser.
2. Enter the login page URL in the address bar.
3. Press Enter to load the page.
4. Enter 'Abc@😊1234' in the password field.
5. Click Sign In.</t>
  </si>
  <si>
    <t>System should reject emoji characters in the password field.</t>
  </si>
  <si>
    <t>System accepted emoji characters in the password field without displaying any validation error.</t>
  </si>
  <si>
    <t>Emoji characters not blocked in password – add regex validation to restrict unsupported characters</t>
  </si>
  <si>
    <t>TC_LSPwd_18</t>
  </si>
  <si>
    <t>Pasted extremely long password is accepted beyond the allowed character limit</t>
  </si>
  <si>
    <t>1. Open the web browser.
2. Enter the login page URL in the address bar.
3. Press Enter to load the page.
4. Paste a password string exceeding 128 characters in the password field.
5. Click Sign In.</t>
  </si>
  <si>
    <t>System should restrict password input beyond the maximum allowed character limit.</t>
  </si>
  <si>
    <t>System allowed extremely long pasted password beyond the maximum allowed character limit.</t>
  </si>
  <si>
    <t>maxlength not enforced on paste for password – apply character limit restriction on paste event</t>
  </si>
  <si>
    <t>TC_LSForgot_10</t>
  </si>
  <si>
    <t>(TS008) LS ForgotPassword</t>
  </si>
  <si>
    <t>'Forgot Password' link is not visible without scrolling on small mobile screens</t>
  </si>
  <si>
    <t>1. Open the web browser on a mobile device or emulator.
2. Navigate to the login page.
3. Observe the Sign In form.
4. Locate the 'Forgot Password' link on screen without scrolling.</t>
  </si>
  <si>
    <t>'Forgot Password' link should be visible and tappable on mobile screen without requiring any scrolling.</t>
  </si>
  <si>
    <t>'Forgot Password' link was not visible on small mobile screens without scrolling down.</t>
  </si>
  <si>
    <t>Forgot Password hidden on mobile – adjust layout so link is visible within viewport on small screens</t>
  </si>
  <si>
    <t>TC_LSSignIn_18</t>
  </si>
  <si>
    <t>(TS009) LS SignInButton</t>
  </si>
  <si>
    <t>Sign In form shows minor layout distortion in Mozilla Firefox browser</t>
  </si>
  <si>
    <t>1. Open Mozilla Firefox browser.
2. Enter the login page URL in the address bar.
3. Press Enter to load the page.
4. Enter valid credentials.
5. Observe the Sign In form layout in Firefox.</t>
  </si>
  <si>
    <t>Sign In form should display correctly and be fully functional in Mozilla Firefox.</t>
  </si>
  <si>
    <t>Sign In form displayed minor layout distortion in Mozilla Firefox browser.</t>
  </si>
  <si>
    <t>Cross-browser layout issue in Firefox – check Sign In form CSS for Firefox flex/grid compatibility</t>
  </si>
  <si>
    <t>TC_LSReg_15</t>
  </si>
  <si>
    <t>(TS010) LS RegisterLink</t>
  </si>
  <si>
    <t>New user Register section overlaps the Sign In form on mobile resolution 375x667</t>
  </si>
  <si>
    <t>1. Open developer tools.
2. Switch to mobile resolution 375x667.
3. Navigate to the login page.
4. Observe the layout of the Sign In form and the New user section.</t>
  </si>
  <si>
    <t>Sign In form and New user Register section should be clearly separated without any overlap on all screen sizes.</t>
  </si>
  <si>
    <t>Register section overlapped the Sign In login form on small mobile screen at resolution 375x667.</t>
  </si>
  <si>
    <t>Major</t>
  </si>
  <si>
    <t>P2 (High)</t>
  </si>
  <si>
    <t>Layout overlap on mobile – fix responsive CSS so Register section stacks below Sign In form on small screens</t>
  </si>
  <si>
    <t>TC_LSHelp_04</t>
  </si>
  <si>
    <t>(TS011) LS HelpLinks</t>
  </si>
  <si>
    <t>'Tutorial Video' help link is broken and does not open any video</t>
  </si>
  <si>
    <t>1. Open the web browser.
2. Enter the login page URL in the address bar.
3. Press Enter to load the page.
4. Scroll below the Sign In button.
5. Click the 'Tutorial Video' link.
6. Observe the result.</t>
  </si>
  <si>
    <t>'Tutorial Video' link should open the tutorial video in a new browser tab.</t>
  </si>
  <si>
    <t>Clicking 'Tutorial Video' did not open any video — the link is broken.</t>
  </si>
  <si>
    <t>Tutorial Video link broken – verify and update the Tutorial Video URL; ensure it opens in a new tab</t>
  </si>
  <si>
    <t>TC_LSHelp_10</t>
  </si>
  <si>
    <t>'How to create APAAR ID' link opens a blank page instead of the APAAR ID instructions page</t>
  </si>
  <si>
    <t>1. Open the web browser.
2. Enter the login page URL in the address bar.
3. Press Enter to load the page.
4. Scroll below the Sign In button.
5. Click the 'How to create APAAR ID' link.
6. Observe the result.</t>
  </si>
  <si>
    <t>'How to create APAAR ID' link should open the APAAR ID creation instructions or the relevant official page.</t>
  </si>
  <si>
    <t>'How to create APAAR ID' link opened a blank page — link is broken or pointing to an incorrect URL.</t>
  </si>
  <si>
    <t>APAAR ID link leads to blank page – update the URL to point to the correct APAAR ID instructions page</t>
  </si>
  <si>
    <t>TC_LSHelpdesk_04</t>
  </si>
  <si>
    <t>(TS012) HelpdeskInfo</t>
  </si>
  <si>
    <t>Helpdesk phone number formatting appears inconsistent on some screen sizes</t>
  </si>
  <si>
    <t>1. Open the web browser.
2. Enter the login page URL in the address bar.
3. Press Enter to load the page.
4. Scroll down to the Helpdesk section.
5. Observe the phone numbers displayed.
6. View on different screen sizes.</t>
  </si>
  <si>
    <t>Helpdesk phone numbers should be clearly readable with consistent formatting on all screen sizes.</t>
  </si>
  <si>
    <t>Phone numbers are visible but formatting appears inconsistent on some screen sizes.</t>
  </si>
  <si>
    <t>Number formatting inconsistent – standardize phone number display CSS across all responsive breakpoints</t>
  </si>
  <si>
    <t>TC_LSHelpdesk_09</t>
  </si>
  <si>
    <t>Helpdesk section text alignment shifts on smaller screen sizes</t>
  </si>
  <si>
    <t>1. Open the web browser.
2. Enter the login page URL in the address bar.
3. Press Enter to load the page.
4. Scroll to the Helpdesk section.
5. Resize the browser to a smaller screen size.
6. Observe text alignment within the section.</t>
  </si>
  <si>
    <t>Text in the Helpdesk section should be properly aligned on all screen sizes.</t>
  </si>
  <si>
    <t>Helpdesk section text alignment slightly shifts on smaller screen sizes.</t>
  </si>
  <si>
    <t>Responsive alignment issue – check and fix text-align CSS for Helpdesk section on small screens</t>
  </si>
  <si>
    <t>TC_LSHelpdesk_13</t>
  </si>
  <si>
    <t>Helpdesk email address is not displayed in the UI as specified in the requirements</t>
  </si>
  <si>
    <t>1. Open the web browser.
2. Enter the login page URL in the address bar.
3. Press Enter to load the page.
4. Scroll to the Helpdesk Information section.
5. Observe whether a helpdesk email address is displayed.</t>
  </si>
  <si>
    <t>Helpdesk email address should be visible in the Helpdesk section as specified in the FRS.</t>
  </si>
  <si>
    <t>Helpdesk email address is not displayed in the UI even though it is specified in the requirements.</t>
  </si>
  <si>
    <t>Helpdesk email missing from UI – add email address to Helpdesk section as per FRS requirement</t>
  </si>
  <si>
    <t>TC_LSHelpdesk_14</t>
  </si>
  <si>
    <t>Helpdesk email format cannot be verified as email is not displayed in the UI</t>
  </si>
  <si>
    <t>1. Open the web browser.
2. Enter the login page URL in the address bar.
3. Press Enter to load the page.
4. Scroll to the Helpdesk section.
5. Observe whether an email address is present.
6. Check the format of the displayed email.</t>
  </si>
  <si>
    <t>Helpdesk email address should follow a valid email format.</t>
  </si>
  <si>
    <t>Email format validation cannot be verified because the email address is not displayed in the UI.</t>
  </si>
  <si>
    <t>Blocked by MHTCET-BUG-L16 – email address missing; format cannot be validated until email is displayed</t>
  </si>
  <si>
    <t>TC_LSHelpdesk_15</t>
  </si>
  <si>
    <t>Helpdesk email link (mailto) is not implemented — email address is not clickable</t>
  </si>
  <si>
    <t>1. Open the web browser.
2. Enter the login page URL in the address bar.
3. Press Enter to load the page.
4. Scroll to the Helpdesk section.
5. Click on the helpdesk email address.
6. Observe system behavior.</t>
  </si>
  <si>
    <t>Clicking the helpdesk email address should open the default email client (mailto link).</t>
  </si>
  <si>
    <t>Email link functionality cannot be tested because email address is not displayed in the UI.</t>
  </si>
  <si>
    <t>Blocked by MHTCET-BUG-L16 – mailto link cannot be tested until email is added to the UI</t>
  </si>
  <si>
    <t>TC_LSHelpdesk_16</t>
  </si>
  <si>
    <t>Helpdesk phone numbers do not open the phone dialer on mobile devices (click-to-call not working)</t>
  </si>
  <si>
    <t>1. Open the login page on a mobile device.
2. Scroll to the Helpdesk section.
3. Tap/click on the displayed helpdesk phone number.
4. Observe whether the phone dialer opens.</t>
  </si>
  <si>
    <t>Tapping a helpdesk phone number on a mobile device should open the phone dialer automatically.</t>
  </si>
  <si>
    <t>Clicking helpdesk phone numbers on mobile device does not open the phone dialer automatically.</t>
  </si>
  <si>
    <t>Click-to-call not implemented – wrap phone numbers in tel: hyperlinks for mobile devices</t>
  </si>
  <si>
    <t>TC_LSSocial_04</t>
  </si>
  <si>
    <t>(TS015) FS SocialMedia</t>
  </si>
  <si>
    <t>Social media icons in the footer do not respond to click events</t>
  </si>
  <si>
    <t>1. Open the web browser.
2. Enter the login page URL in the address bar.
3. Press Enter to load the page.
4. Scroll to the footer section.
5. Click on any social media icon.
6. Observe whether the icon responds to the click.</t>
  </si>
  <si>
    <t>Clicking a social media icon should respond and redirect the user to the respective social media page.</t>
  </si>
  <si>
    <t>Social media icons do not respond when clicked by the user.</t>
  </si>
  <si>
    <t>P1 (High)</t>
  </si>
  <si>
    <t>Click event not bound to social icons – add onclick handlers or href links to social media icons</t>
  </si>
  <si>
    <t>TC_LSSocial_05</t>
  </si>
  <si>
    <t>Clicking YouTube icon does not redirect to the official MHT-CET YouTube channel</t>
  </si>
  <si>
    <t>1. Open the web browser.
2. Enter the login page URL in the address bar.
3. Press Enter to load the page.
4. Scroll to the footer section.
5. Click on the YouTube icon.
6. Verify that the correct social media page opens.</t>
  </si>
  <si>
    <t>User should be redirected to the official MHT-CET YouTube channel when the YouTube icon is clicked.</t>
  </si>
  <si>
    <t>Clicking the YouTube icon had no effect — user was not redirected to any page.</t>
  </si>
  <si>
    <t>YouTube URL missing or incorrect – add the correct official MHT-CET YouTube channel URL to the icon</t>
  </si>
  <si>
    <t>TC_LSSocial_06</t>
  </si>
  <si>
    <t>Social media links do not open in a new browser tab</t>
  </si>
  <si>
    <t>1. Open the web browser.
2. Enter the login page URL in the address bar.
3. Press Enter to load the page.
4. Scroll to the footer section.
5. Click on any social media icon.
6. Observe whether the link opens in a new browser tab.</t>
  </si>
  <si>
    <t>Social media links should open in a new browser tab when clicked.</t>
  </si>
  <si>
    <t>Social media links do not open in a new browser tab; they open in the same tab or do nothing.</t>
  </si>
  <si>
    <t>target='_blank' attribute missing – add target='_blank' and rel='noopener noreferrer' to social links</t>
  </si>
  <si>
    <t>TC_LSSocial_08</t>
  </si>
  <si>
    <t>Social media icon links are broken and do not load the corresponding pages</t>
  </si>
  <si>
    <t>1. Open the web browser.
2. Enter the login page URL in the address bar.
3. Press Enter to load the page.
4. Scroll to the footer section.
5. Click on a social media icon (YouTube or Facebook).
6. Observe whether the linked page loads successfully.</t>
  </si>
  <si>
    <t>Clicking a social media icon should successfully load the corresponding official page without any error.</t>
  </si>
  <si>
    <t>Clicking social media icons does not load the corresponding social media page; links appear broken.</t>
  </si>
  <si>
    <t>Broken links on social icons – verify and update all social media URLs; test all icon links before release</t>
  </si>
  <si>
    <t>TC_LSSocial_15</t>
  </si>
  <si>
    <t>Clicking social media icon with an invalid URL does not navigate to the correct page</t>
  </si>
  <si>
    <t>1. Open the web browser.
2. Enter the login page URL in the address bar.
3. Press Enter to load the page.
4. Scroll to the footer section.
5. Click on a social media icon with an invalid or broken URL.
6. Observe system behavior.</t>
  </si>
  <si>
    <t>System should handle broken links gracefully and display an appropriate error or fallback behavior.</t>
  </si>
  <si>
    <t>Clicking the icon with an invalid URL does not navigate the user to the correct social media page.</t>
  </si>
  <si>
    <t>Invalid URL not handled – implement link validation and add fallback for broken social media URLs</t>
  </si>
  <si>
    <t>TC_LSSocial_16</t>
  </si>
  <si>
    <t>Social media icons in the footer are not keyboard accessible via TAB key navigation</t>
  </si>
  <si>
    <t>1. Open the web browser.
2. Enter the login page URL in the address bar.
3. Press Enter to load the page.
4. Use the TAB key to navigate through all interactive elements.
5. Observe whether focus reaches the social media icons in the footer.</t>
  </si>
  <si>
    <t>User should be able to focus on and activate social media icons using TAB key keyboard navigation.</t>
  </si>
  <si>
    <t>Keyboard TAB navigation does not properly focus on social media icons in the footer section.</t>
  </si>
  <si>
    <t>P4 (Low)</t>
  </si>
  <si>
    <t>Accessibility issue – add tabindex and keyboard event handlers to social media icons for accessibility</t>
  </si>
  <si>
    <t>TC_LSCB_02</t>
  </si>
  <si>
    <t>(TS016) CrossBrowser</t>
  </si>
  <si>
    <t>Login page shows minor logo alignment issue in the header when loaded in Mozilla Firefox</t>
  </si>
  <si>
    <t>1. Open Mozilla Firefox browser.
2. Enter the login page URL in the address bar.
3. Press Enter to load the page.
4. Observe the header section layout and alignment.</t>
  </si>
  <si>
    <t>Header section should display properly and consistently in Mozilla Firefox browser.</t>
  </si>
  <si>
    <t>Login page showed minor logo alignment issue in the header section when loaded in Firefox.</t>
  </si>
  <si>
    <t>Cross-browser CSS inconsistency in Firefox – check header flex/grid alignment for Firefox compatibility</t>
  </si>
  <si>
    <t>TC_LSCB_04</t>
  </si>
  <si>
    <t>Sign In form layout is slightly distorted in Mozilla Firefox browser</t>
  </si>
  <si>
    <t>1. Open the login page in Chrome, Firefox, and Edge one by one.
2. Navigate to the login page in each browser.
3. Fill in valid credentials.
4. Submit the form.
5. Observe layout in each browser.</t>
  </si>
  <si>
    <t>Sign In form should display correctly and function consistently in all supported browsers including Firefox.</t>
  </si>
  <si>
    <t>Form layout distorted in Firefox – fix Sign In form container CSS for Firefox flex/grid rendering</t>
  </si>
  <si>
    <t>TC_LSCB_06</t>
  </si>
  <si>
    <t>Header section logos show alignment inconsistency in Mozilla Firefox browser</t>
  </si>
  <si>
    <t>1. Open the login page in Chrome, Firefox, and Edge one by one.
2. Observe the header section in each browser.
3. Check logos and text alignment.</t>
  </si>
  <si>
    <t>Header should display consistently across all browsers including Firefox without alignment issues.</t>
  </si>
  <si>
    <t>Header logos showed alignment inconsistency in Mozilla Firefox compared to Chrome and Edge.</t>
  </si>
  <si>
    <t>Header logo misalignment in Firefox – check header logo container CSS for Firefox compatibility</t>
  </si>
  <si>
    <t>TC_LSResp_04</t>
  </si>
  <si>
    <t>(TS017) Responsiveness</t>
  </si>
  <si>
    <t>Register section overlaps the Sign In login form on mobile resolution 375x667</t>
  </si>
  <si>
    <t>1. Open developer tools.
2. Switch to mobile resolution 375x667.
3. Navigate to the login page.
4. Observe the page layout.</t>
  </si>
  <si>
    <t>Sign In form should be fully visible on mobile resolution 375x667 with no overlapping elements.</t>
  </si>
  <si>
    <t>Register section overlapped the Sign In login form on mobile resolution 375x667.</t>
  </si>
  <si>
    <t>Responsive layout overlap – fix CSS so Register section stacks cleanly below Sign In form on mobile</t>
  </si>
  <si>
    <t>TC_LSResp_10</t>
  </si>
  <si>
    <t>Helpdesk section phone numbers are truncated on mobile resolution 375x667</t>
  </si>
  <si>
    <t>1. Open developer tools.
2. Switch to mobile resolution 375x667.
3. Navigate to the login page.
4. Scroll to the helpdesk section.
5. Read the phone number content.</t>
  </si>
  <si>
    <t>Helpdesk section content including phone numbers should be fully readable without any truncation on mobile.</t>
  </si>
  <si>
    <t>Helpdesk phone numbers were truncated on small mobile screens at resolution 375x667.</t>
  </si>
  <si>
    <t>Content truncated on mobile – fix helpdesk section overflow CSS to prevent phone number truncation</t>
  </si>
  <si>
    <t>TC_LSUsability_06</t>
  </si>
  <si>
    <t>(TS018) UsabilityTesting</t>
  </si>
  <si>
    <t>Placeholder text is missing in the email and password input fields</t>
  </si>
  <si>
    <t>1. Open the web browser.
2. Enter the login page URL in the address bar.
3. Press Enter to load the page.
4. Observe placeholder text inside the email and password input fields.
5. Check if the placeholder describes expected input.
6. Verify clarity of placeholder text.</t>
  </si>
  <si>
    <t>Placeholder text should be present in all input fields and clearly describe expected input to the user.</t>
  </si>
  <si>
    <t>Placeholder text is not present in the email and password input fields on the login form.</t>
  </si>
  <si>
    <t>Placeholder attributes missing on login fields – add descriptive placeholder text as per FRS</t>
  </si>
  <si>
    <t>MHT-CET_BUG_01</t>
  </si>
  <si>
    <t>MHT-CET_BUG_02</t>
  </si>
  <si>
    <t>MHT-CET_BUG_03</t>
  </si>
  <si>
    <t>MHT-CET_BUG_04</t>
  </si>
  <si>
    <t>MHT-CET_BUG_05</t>
  </si>
  <si>
    <t>MHT-CET_BUG_06</t>
  </si>
  <si>
    <t>MHT-CET_BUG_07</t>
  </si>
  <si>
    <t>MHT-CET_BUG_08</t>
  </si>
  <si>
    <t>MHT-CET_BUG_09</t>
  </si>
  <si>
    <t>MHT-CET_BUG_10</t>
  </si>
  <si>
    <t>MHT-CET_BUG_11</t>
  </si>
  <si>
    <t>MHT-CET_BUG_12</t>
  </si>
  <si>
    <t>MHT-CET_BUG_13</t>
  </si>
  <si>
    <t>MHT-CET_BUG_14</t>
  </si>
  <si>
    <t>MHT-CET_BUG_15</t>
  </si>
  <si>
    <t>MHT-CET_BUG_16</t>
  </si>
  <si>
    <t>MHT-CET_BUG_17</t>
  </si>
  <si>
    <t>MHT-CET_BUG_18</t>
  </si>
  <si>
    <t>MHT-CET_BUG_19</t>
  </si>
  <si>
    <t>MHT-CET_BUG_20</t>
  </si>
  <si>
    <t>MHT-CET_BUG_21</t>
  </si>
  <si>
    <t>MHT-CET_BUG_22</t>
  </si>
  <si>
    <t>MHT-CET_BUG_23</t>
  </si>
  <si>
    <t>MHT-CET_BUG_24</t>
  </si>
  <si>
    <t>MHT-CET_BUG_25</t>
  </si>
  <si>
    <t>MHT-CET_BUG_26</t>
  </si>
  <si>
    <t>MHT-CET_BUG_27</t>
  </si>
  <si>
    <t>MHT-CET_BUG_28</t>
  </si>
  <si>
    <t>MHT-CET_BUG_29</t>
  </si>
  <si>
    <t>MHT-CET_BUG_30</t>
  </si>
  <si>
    <t>MHT-CET_BUG_31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</si>
</sst>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20"/>
      <color rgb="FFFFFFFF"/>
      <name val="Aptos Narrow"/>
    </font>
    <font>
      <b/>
      <sz val="11"/>
      <name val="Aptos Narrow"/>
    </font>
    <font>
      <sz val="11"/>
      <name val="Aptos Narrow"/>
    </font>
    <font>
      <b/>
      <sz val="15"/>
      <color rgb="FFFFFFFF"/>
      <name val="Aptos Narrow"/>
    </font>
    <font>
      <b/>
      <sz val="11"/>
      <color rgb="FF9C0006"/>
      <name val="Aptos Narrow"/>
    </font>
    <font>
      <b/>
      <sz val="11"/>
      <color rgb="FF000000"/>
      <name val="Aptos Narrow"/>
    </font>
    <font>
      <b/>
      <sz val="12"/>
      <color rgb="FFFFFFFF"/>
      <name val="Aptos Narrow"/>
    </font>
    <font>
      <b/>
      <sz val="11"/>
      <color rgb="FFFFFFFF"/>
      <name val="Aptos Narrow"/>
    </font>
    <font>
      <sz val="8"/>
      <name val="Calibri"/>
      <family val="2"/>
      <scheme val="minor"/>
    </font>
  </fonts>
  <fills count="9">
    <fill>
      <patternFill patternType="none"/>
    </fill>
    <fill>
      <patternFill patternType="gray125"/>
    </fill>
    <fill>
      <patternFill patternType="solid">
        <fgColor rgb="FF002060"/>
      </patternFill>
    </fill>
    <fill>
      <patternFill patternType="solid">
        <fgColor rgb="FF00B0F0"/>
      </patternFill>
    </fill>
    <fill>
      <patternFill patternType="solid">
        <fgColor rgb="FFDEEAF1"/>
      </patternFill>
    </fill>
    <fill>
      <patternFill patternType="solid">
        <fgColor rgb="FF1F3864"/>
      </patternFill>
    </fill>
    <fill>
      <patternFill patternType="solid">
        <fgColor rgb="FFFFFFFF"/>
      </patternFill>
    </fill>
    <fill>
      <patternFill patternType="solid">
        <fgColor rgb="FFEBF3FB"/>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3" borderId="1" xfId="0" applyFont="1" applyFill="1" applyBorder="1"/>
    <xf numFmtId="0" fontId="7" fillId="8" borderId="0" xfId="0" applyFont="1" applyFill="1" applyAlignment="1">
      <alignment vertical="center" wrapText="1"/>
    </xf>
    <xf numFmtId="0" fontId="8" fillId="2"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xf>
    <xf numFmtId="0" fontId="1" fillId="2"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0" fillId="0" borderId="1" xfId="0" applyBorder="1" applyAlignment="1">
      <alignment horizontal="center"/>
    </xf>
    <xf numFmtId="0" fontId="4" fillId="2" borderId="1" xfId="0" applyFont="1" applyFill="1" applyBorder="1" applyAlignment="1">
      <alignment horizontal="center" vertical="center" wrapText="1"/>
    </xf>
    <xf numFmtId="0" fontId="0" fillId="0" borderId="1" xfId="0" applyBorder="1"/>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workbookViewId="0">
      <selection sqref="A1:E7"/>
    </sheetView>
  </sheetViews>
  <sheetFormatPr defaultRowHeight="14.4"/>
  <cols>
    <col min="1" max="1" width="22" customWidth="1"/>
    <col min="2" max="2" width="38" customWidth="1"/>
  </cols>
  <sheetData>
    <row r="1" spans="1:5" ht="25.8">
      <c r="A1" s="12" t="s">
        <v>0</v>
      </c>
      <c r="B1" s="12"/>
      <c r="C1" s="12"/>
      <c r="D1" s="12"/>
      <c r="E1" s="12"/>
    </row>
    <row r="2" spans="1:5">
      <c r="A2" s="1" t="s">
        <v>1</v>
      </c>
      <c r="B2" s="11" t="s">
        <v>2</v>
      </c>
      <c r="C2" s="11"/>
      <c r="D2" s="11"/>
      <c r="E2" s="11"/>
    </row>
    <row r="3" spans="1:5">
      <c r="A3" s="1" t="s">
        <v>3</v>
      </c>
      <c r="B3" s="11" t="s">
        <v>4</v>
      </c>
      <c r="C3" s="11"/>
      <c r="D3" s="11"/>
      <c r="E3" s="11"/>
    </row>
    <row r="4" spans="1:5">
      <c r="A4" s="1" t="s">
        <v>5</v>
      </c>
      <c r="B4" s="11" t="s">
        <v>6</v>
      </c>
      <c r="C4" s="11"/>
      <c r="D4" s="11"/>
      <c r="E4" s="11"/>
    </row>
    <row r="5" spans="1:5">
      <c r="A5" s="1" t="s">
        <v>7</v>
      </c>
      <c r="B5" s="11" t="s">
        <v>8</v>
      </c>
      <c r="C5" s="11"/>
      <c r="D5" s="11"/>
      <c r="E5" s="11"/>
    </row>
    <row r="6" spans="1:5">
      <c r="A6" s="1" t="s">
        <v>9</v>
      </c>
      <c r="B6" s="11" t="s">
        <v>10</v>
      </c>
      <c r="C6" s="11"/>
      <c r="D6" s="11"/>
      <c r="E6" s="11"/>
    </row>
    <row r="7" spans="1:5">
      <c r="A7" s="1" t="s">
        <v>11</v>
      </c>
      <c r="B7" s="11" t="s">
        <v>12</v>
      </c>
      <c r="C7" s="11"/>
      <c r="D7" s="11"/>
      <c r="E7" s="11"/>
    </row>
  </sheetData>
  <mergeCells count="7">
    <mergeCell ref="B7:E7"/>
    <mergeCell ref="A1:E1"/>
    <mergeCell ref="B2:E2"/>
    <mergeCell ref="B3:E3"/>
    <mergeCell ref="B4:E4"/>
    <mergeCell ref="B5:E5"/>
    <mergeCell ref="B6:E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workbookViewId="0">
      <selection activeCell="D33" sqref="D33"/>
    </sheetView>
  </sheetViews>
  <sheetFormatPr defaultRowHeight="14.4"/>
  <cols>
    <col min="1" max="1" width="30" customWidth="1"/>
    <col min="2" max="2" width="10" customWidth="1"/>
    <col min="3" max="3" width="12" customWidth="1"/>
    <col min="4" max="4" width="13" customWidth="1"/>
    <col min="5" max="5" width="12" customWidth="1"/>
    <col min="6" max="6" width="14" customWidth="1"/>
    <col min="7" max="7" width="12" customWidth="1"/>
    <col min="8" max="8" width="10" customWidth="1"/>
  </cols>
  <sheetData>
    <row r="1" spans="1:8" ht="28.05" customHeight="1">
      <c r="A1" s="18" t="s">
        <v>13</v>
      </c>
      <c r="B1" s="19"/>
      <c r="C1" s="19"/>
      <c r="D1" s="19"/>
      <c r="E1" s="19"/>
      <c r="F1" s="19"/>
      <c r="G1" s="19"/>
      <c r="H1" s="19"/>
    </row>
    <row r="3" spans="1:8" ht="18" customHeight="1">
      <c r="A3" s="10" t="s">
        <v>14</v>
      </c>
      <c r="B3" s="20">
        <v>31</v>
      </c>
      <c r="C3" s="20"/>
      <c r="D3" s="20"/>
    </row>
    <row r="4" spans="1:8" ht="18" customHeight="1">
      <c r="A4" s="10" t="s">
        <v>15</v>
      </c>
      <c r="B4" s="21">
        <v>8</v>
      </c>
      <c r="C4" s="21"/>
      <c r="D4" s="21"/>
    </row>
    <row r="5" spans="1:8" ht="18" customHeight="1">
      <c r="A5" s="10" t="s">
        <v>16</v>
      </c>
      <c r="B5" s="21">
        <v>22</v>
      </c>
      <c r="C5" s="21"/>
      <c r="D5" s="21"/>
    </row>
    <row r="6" spans="1:8" ht="18" customHeight="1">
      <c r="A6" s="10" t="s">
        <v>17</v>
      </c>
      <c r="B6" s="21">
        <v>1</v>
      </c>
      <c r="C6" s="21"/>
      <c r="D6" s="21"/>
    </row>
    <row r="7" spans="1:8" ht="18" customHeight="1">
      <c r="A7" s="10" t="s">
        <v>18</v>
      </c>
      <c r="B7" s="21" t="s">
        <v>19</v>
      </c>
      <c r="C7" s="21"/>
      <c r="D7" s="21"/>
    </row>
    <row r="9" spans="1:8" ht="14.4" customHeight="1">
      <c r="A9" s="16" t="s">
        <v>20</v>
      </c>
      <c r="B9" s="16"/>
      <c r="C9" s="16"/>
      <c r="D9" s="16"/>
      <c r="E9" s="2"/>
    </row>
    <row r="10" spans="1:8">
      <c r="A10" s="3" t="s">
        <v>21</v>
      </c>
      <c r="B10" s="15" t="s">
        <v>22</v>
      </c>
      <c r="C10" s="15"/>
      <c r="D10" s="15"/>
    </row>
    <row r="11" spans="1:8">
      <c r="A11" s="8" t="s">
        <v>23</v>
      </c>
      <c r="B11" s="22">
        <v>3</v>
      </c>
      <c r="C11" s="22"/>
      <c r="D11" s="22"/>
    </row>
    <row r="12" spans="1:8">
      <c r="A12" s="9" t="s">
        <v>24</v>
      </c>
      <c r="B12" s="23">
        <v>5</v>
      </c>
      <c r="C12" s="23"/>
      <c r="D12" s="23"/>
    </row>
    <row r="13" spans="1:8">
      <c r="A13" s="8" t="s">
        <v>25</v>
      </c>
      <c r="B13" s="22">
        <v>22</v>
      </c>
      <c r="C13" s="22"/>
      <c r="D13" s="22"/>
    </row>
    <row r="14" spans="1:8">
      <c r="A14" s="9" t="s">
        <v>26</v>
      </c>
      <c r="B14" s="23">
        <v>1</v>
      </c>
      <c r="C14" s="23"/>
      <c r="D14" s="23"/>
    </row>
    <row r="16" spans="1:8">
      <c r="A16" s="16" t="s">
        <v>27</v>
      </c>
      <c r="B16" s="17"/>
      <c r="C16" s="17"/>
      <c r="D16" s="17"/>
      <c r="E16" s="17"/>
      <c r="F16" s="17"/>
      <c r="G16" s="17"/>
      <c r="H16" s="17"/>
    </row>
    <row r="17" spans="1:8">
      <c r="A17" s="15" t="s">
        <v>28</v>
      </c>
      <c r="B17" s="15"/>
      <c r="C17" s="15"/>
      <c r="D17" s="3" t="s">
        <v>29</v>
      </c>
      <c r="E17" s="3" t="s">
        <v>24</v>
      </c>
      <c r="F17" s="3" t="s">
        <v>25</v>
      </c>
      <c r="G17" s="3" t="s">
        <v>26</v>
      </c>
      <c r="H17" s="3" t="s">
        <v>18</v>
      </c>
    </row>
    <row r="18" spans="1:8">
      <c r="A18" s="13" t="s">
        <v>30</v>
      </c>
      <c r="B18" s="13"/>
      <c r="C18" s="13"/>
      <c r="D18" s="7">
        <v>1</v>
      </c>
      <c r="E18" s="9">
        <v>0</v>
      </c>
      <c r="F18" s="9">
        <v>1</v>
      </c>
      <c r="G18" s="9">
        <v>0</v>
      </c>
      <c r="H18" s="9" t="s">
        <v>19</v>
      </c>
    </row>
    <row r="19" spans="1:8">
      <c r="A19" s="14" t="s">
        <v>31</v>
      </c>
      <c r="B19" s="14"/>
      <c r="C19" s="14"/>
      <c r="D19" s="5">
        <v>4</v>
      </c>
      <c r="E19" s="9">
        <v>0</v>
      </c>
      <c r="F19" s="8">
        <v>4</v>
      </c>
      <c r="G19" s="9">
        <v>0</v>
      </c>
      <c r="H19" s="8" t="s">
        <v>19</v>
      </c>
    </row>
    <row r="20" spans="1:8">
      <c r="A20" s="13" t="s">
        <v>32</v>
      </c>
      <c r="B20" s="13"/>
      <c r="C20" s="13"/>
      <c r="D20" s="7">
        <v>3</v>
      </c>
      <c r="E20" s="9">
        <v>0</v>
      </c>
      <c r="F20" s="9">
        <v>3</v>
      </c>
      <c r="G20" s="9">
        <v>0</v>
      </c>
      <c r="H20" s="9" t="s">
        <v>19</v>
      </c>
    </row>
    <row r="21" spans="1:8" ht="13.2" customHeight="1">
      <c r="A21" s="14" t="s">
        <v>33</v>
      </c>
      <c r="B21" s="14"/>
      <c r="C21" s="14"/>
      <c r="D21" s="5">
        <v>1</v>
      </c>
      <c r="E21" s="9">
        <v>0</v>
      </c>
      <c r="F21" s="8">
        <v>1</v>
      </c>
      <c r="G21" s="9">
        <v>0</v>
      </c>
      <c r="H21" s="8" t="s">
        <v>19</v>
      </c>
    </row>
    <row r="22" spans="1:8">
      <c r="A22" s="13" t="s">
        <v>34</v>
      </c>
      <c r="B22" s="13"/>
      <c r="C22" s="13"/>
      <c r="D22" s="7">
        <v>1</v>
      </c>
      <c r="E22" s="9">
        <v>0</v>
      </c>
      <c r="F22" s="9">
        <v>1</v>
      </c>
      <c r="G22" s="9">
        <v>0</v>
      </c>
      <c r="H22" s="9" t="s">
        <v>19</v>
      </c>
    </row>
    <row r="23" spans="1:8" ht="13.8" customHeight="1">
      <c r="A23" s="14" t="s">
        <v>35</v>
      </c>
      <c r="B23" s="14"/>
      <c r="C23" s="14"/>
      <c r="D23" s="5">
        <v>1</v>
      </c>
      <c r="E23" s="8">
        <v>1</v>
      </c>
      <c r="F23" s="8">
        <v>0</v>
      </c>
      <c r="G23" s="9">
        <v>0</v>
      </c>
      <c r="H23" s="8" t="s">
        <v>19</v>
      </c>
    </row>
    <row r="24" spans="1:8" ht="14.4" customHeight="1">
      <c r="A24" s="13" t="s">
        <v>36</v>
      </c>
      <c r="B24" s="13"/>
      <c r="C24" s="13"/>
      <c r="D24" s="7">
        <v>2</v>
      </c>
      <c r="E24" s="9">
        <v>2</v>
      </c>
      <c r="F24" s="9">
        <v>0</v>
      </c>
      <c r="G24" s="9">
        <v>0</v>
      </c>
      <c r="H24" s="9" t="s">
        <v>19</v>
      </c>
    </row>
    <row r="25" spans="1:8">
      <c r="A25" s="14" t="s">
        <v>37</v>
      </c>
      <c r="B25" s="14"/>
      <c r="C25" s="14"/>
      <c r="D25" s="5">
        <v>6</v>
      </c>
      <c r="E25" s="8">
        <v>1</v>
      </c>
      <c r="F25" s="8">
        <v>5</v>
      </c>
      <c r="G25" s="9">
        <v>0</v>
      </c>
      <c r="H25" s="8" t="s">
        <v>19</v>
      </c>
    </row>
    <row r="26" spans="1:8">
      <c r="A26" s="13" t="s">
        <v>38</v>
      </c>
      <c r="B26" s="13"/>
      <c r="C26" s="13"/>
      <c r="D26" s="7">
        <v>6</v>
      </c>
      <c r="E26" s="9">
        <v>3</v>
      </c>
      <c r="F26" s="9">
        <v>2</v>
      </c>
      <c r="G26" s="9">
        <v>1</v>
      </c>
      <c r="H26" s="9" t="s">
        <v>19</v>
      </c>
    </row>
    <row r="27" spans="1:8">
      <c r="A27" s="14" t="s">
        <v>39</v>
      </c>
      <c r="B27" s="14"/>
      <c r="C27" s="14"/>
      <c r="D27" s="5">
        <v>3</v>
      </c>
      <c r="E27" s="8">
        <v>0</v>
      </c>
      <c r="F27" s="8">
        <v>3</v>
      </c>
      <c r="G27" s="8">
        <v>0</v>
      </c>
      <c r="H27" s="8" t="s">
        <v>19</v>
      </c>
    </row>
    <row r="28" spans="1:8">
      <c r="A28" s="13" t="s">
        <v>40</v>
      </c>
      <c r="B28" s="13"/>
      <c r="C28" s="13"/>
      <c r="D28" s="7">
        <v>2</v>
      </c>
      <c r="E28" s="9">
        <v>1</v>
      </c>
      <c r="F28" s="9">
        <v>1</v>
      </c>
      <c r="G28" s="9">
        <v>0</v>
      </c>
      <c r="H28" s="9" t="s">
        <v>19</v>
      </c>
    </row>
    <row r="29" spans="1:8">
      <c r="A29" s="14" t="s">
        <v>41</v>
      </c>
      <c r="B29" s="14"/>
      <c r="C29" s="14"/>
      <c r="D29" s="5">
        <v>1</v>
      </c>
      <c r="E29" s="8">
        <v>0</v>
      </c>
      <c r="F29" s="8">
        <v>1</v>
      </c>
      <c r="G29" s="8">
        <v>0</v>
      </c>
      <c r="H29" s="8" t="s">
        <v>19</v>
      </c>
    </row>
    <row r="30" spans="1:8">
      <c r="A30" s="15" t="s">
        <v>42</v>
      </c>
      <c r="B30" s="15"/>
      <c r="C30" s="15"/>
      <c r="D30" s="3">
        <f>SUM(D18:D29)</f>
        <v>31</v>
      </c>
      <c r="E30" s="3">
        <f>SUM(E18:E29)</f>
        <v>8</v>
      </c>
      <c r="F30" s="3">
        <f>SUM(F18:F29)</f>
        <v>22</v>
      </c>
      <c r="G30" s="3">
        <f>SUM(G18:G29)</f>
        <v>1</v>
      </c>
      <c r="H30" s="3"/>
    </row>
  </sheetData>
  <mergeCells count="27">
    <mergeCell ref="B13:D13"/>
    <mergeCell ref="B14:D14"/>
    <mergeCell ref="B7:D7"/>
    <mergeCell ref="A9:D9"/>
    <mergeCell ref="B10:D10"/>
    <mergeCell ref="B11:D11"/>
    <mergeCell ref="B12:D12"/>
    <mergeCell ref="A1:H1"/>
    <mergeCell ref="B3:D3"/>
    <mergeCell ref="B4:D4"/>
    <mergeCell ref="B5:D5"/>
    <mergeCell ref="B6:D6"/>
    <mergeCell ref="A17:C17"/>
    <mergeCell ref="A18:C18"/>
    <mergeCell ref="A19:C19"/>
    <mergeCell ref="A20:C20"/>
    <mergeCell ref="A16:H16"/>
    <mergeCell ref="A21:C21"/>
    <mergeCell ref="A22:C22"/>
    <mergeCell ref="A23:C23"/>
    <mergeCell ref="A24:C24"/>
    <mergeCell ref="A25:C25"/>
    <mergeCell ref="A26:C26"/>
    <mergeCell ref="A27:C27"/>
    <mergeCell ref="A28:C28"/>
    <mergeCell ref="A29:C29"/>
    <mergeCell ref="A30:C3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2"/>
  <sheetViews>
    <sheetView tabSelected="1" workbookViewId="0">
      <pane ySplit="1" topLeftCell="A2" activePane="bottomLeft" state="frozen"/>
      <selection pane="bottomLeft" activeCell="A2" sqref="A2:A32"/>
    </sheetView>
  </sheetViews>
  <sheetFormatPr defaultRowHeight="14.4"/>
  <cols>
    <col min="1" max="1" width="21.109375" customWidth="1"/>
    <col min="2" max="2" width="26" customWidth="1"/>
    <col min="3" max="3" width="24" customWidth="1"/>
    <col min="4" max="4" width="30" customWidth="1"/>
    <col min="5" max="5" width="45" customWidth="1"/>
    <col min="6" max="6" width="36" customWidth="1"/>
    <col min="7" max="7" width="34" customWidth="1"/>
    <col min="8" max="8" width="38" customWidth="1"/>
    <col min="9" max="9" width="10" customWidth="1"/>
    <col min="10" max="10" width="13" customWidth="1"/>
    <col min="11" max="11" width="10" customWidth="1"/>
    <col min="12" max="12" width="36" customWidth="1"/>
  </cols>
  <sheetData>
    <row r="1" spans="1:12" ht="28.05" customHeight="1">
      <c r="A1" s="3" t="s">
        <v>43</v>
      </c>
      <c r="B1" s="3" t="s">
        <v>44</v>
      </c>
      <c r="C1" s="3" t="s">
        <v>45</v>
      </c>
      <c r="D1" s="3" t="s">
        <v>28</v>
      </c>
      <c r="E1" s="3" t="s">
        <v>46</v>
      </c>
      <c r="F1" s="3" t="s">
        <v>47</v>
      </c>
      <c r="G1" s="3" t="s">
        <v>48</v>
      </c>
      <c r="H1" s="3" t="s">
        <v>49</v>
      </c>
      <c r="I1" s="3" t="s">
        <v>21</v>
      </c>
      <c r="J1" s="3" t="s">
        <v>50</v>
      </c>
      <c r="K1" s="3" t="s">
        <v>18</v>
      </c>
      <c r="L1" s="3" t="s">
        <v>51</v>
      </c>
    </row>
    <row r="2" spans="1:12" ht="75" customHeight="1">
      <c r="A2" s="6" t="s">
        <v>255</v>
      </c>
      <c r="B2" s="6" t="s">
        <v>52</v>
      </c>
      <c r="C2" s="6" t="s">
        <v>53</v>
      </c>
      <c r="D2" s="6" t="s">
        <v>30</v>
      </c>
      <c r="E2" s="6" t="s">
        <v>54</v>
      </c>
      <c r="F2" s="6" t="s">
        <v>55</v>
      </c>
      <c r="G2" s="6" t="s">
        <v>56</v>
      </c>
      <c r="H2" s="6" t="s">
        <v>57</v>
      </c>
      <c r="I2" s="6" t="s">
        <v>58</v>
      </c>
      <c r="J2" s="6" t="s">
        <v>59</v>
      </c>
      <c r="K2" s="6" t="s">
        <v>19</v>
      </c>
      <c r="L2" s="6" t="s">
        <v>60</v>
      </c>
    </row>
    <row r="3" spans="1:12" ht="75" customHeight="1">
      <c r="A3" s="6" t="s">
        <v>256</v>
      </c>
      <c r="B3" s="4" t="s">
        <v>61</v>
      </c>
      <c r="C3" s="4" t="s">
        <v>62</v>
      </c>
      <c r="D3" s="4" t="s">
        <v>31</v>
      </c>
      <c r="E3" s="4" t="s">
        <v>63</v>
      </c>
      <c r="F3" s="4" t="s">
        <v>64</v>
      </c>
      <c r="G3" s="4" t="s">
        <v>65</v>
      </c>
      <c r="H3" s="4" t="s">
        <v>66</v>
      </c>
      <c r="I3" s="4" t="s">
        <v>58</v>
      </c>
      <c r="J3" s="4" t="s">
        <v>59</v>
      </c>
      <c r="K3" s="4" t="s">
        <v>19</v>
      </c>
      <c r="L3" s="4" t="s">
        <v>67</v>
      </c>
    </row>
    <row r="4" spans="1:12" ht="75" customHeight="1">
      <c r="A4" s="6" t="s">
        <v>257</v>
      </c>
      <c r="B4" s="6" t="s">
        <v>68</v>
      </c>
      <c r="C4" s="6" t="s">
        <v>62</v>
      </c>
      <c r="D4" s="6" t="s">
        <v>31</v>
      </c>
      <c r="E4" s="6" t="s">
        <v>69</v>
      </c>
      <c r="F4" s="6" t="s">
        <v>70</v>
      </c>
      <c r="G4" s="6" t="s">
        <v>71</v>
      </c>
      <c r="H4" s="6" t="s">
        <v>72</v>
      </c>
      <c r="I4" s="6" t="s">
        <v>58</v>
      </c>
      <c r="J4" s="6" t="s">
        <v>59</v>
      </c>
      <c r="K4" s="6" t="s">
        <v>19</v>
      </c>
      <c r="L4" s="6" t="s">
        <v>73</v>
      </c>
    </row>
    <row r="5" spans="1:12" ht="75" customHeight="1">
      <c r="A5" s="6" t="s">
        <v>258</v>
      </c>
      <c r="B5" s="4" t="s">
        <v>74</v>
      </c>
      <c r="C5" s="4" t="s">
        <v>62</v>
      </c>
      <c r="D5" s="4" t="s">
        <v>31</v>
      </c>
      <c r="E5" s="4" t="s">
        <v>75</v>
      </c>
      <c r="F5" s="4" t="s">
        <v>76</v>
      </c>
      <c r="G5" s="4" t="s">
        <v>77</v>
      </c>
      <c r="H5" s="4" t="s">
        <v>78</v>
      </c>
      <c r="I5" s="4" t="s">
        <v>58</v>
      </c>
      <c r="J5" s="4" t="s">
        <v>59</v>
      </c>
      <c r="K5" s="4" t="s">
        <v>19</v>
      </c>
      <c r="L5" s="4" t="s">
        <v>79</v>
      </c>
    </row>
    <row r="6" spans="1:12" ht="75" customHeight="1">
      <c r="A6" s="6" t="s">
        <v>259</v>
      </c>
      <c r="B6" s="6" t="s">
        <v>80</v>
      </c>
      <c r="C6" s="6" t="s">
        <v>62</v>
      </c>
      <c r="D6" s="6" t="s">
        <v>31</v>
      </c>
      <c r="E6" s="6" t="s">
        <v>81</v>
      </c>
      <c r="F6" s="6" t="s">
        <v>82</v>
      </c>
      <c r="G6" s="6" t="s">
        <v>83</v>
      </c>
      <c r="H6" s="6" t="s">
        <v>84</v>
      </c>
      <c r="I6" s="6" t="s">
        <v>58</v>
      </c>
      <c r="J6" s="6" t="s">
        <v>59</v>
      </c>
      <c r="K6" s="6" t="s">
        <v>19</v>
      </c>
      <c r="L6" s="6" t="s">
        <v>85</v>
      </c>
    </row>
    <row r="7" spans="1:12" ht="75" customHeight="1">
      <c r="A7" s="6" t="s">
        <v>260</v>
      </c>
      <c r="B7" s="4" t="s">
        <v>86</v>
      </c>
      <c r="C7" s="4" t="s">
        <v>87</v>
      </c>
      <c r="D7" s="4" t="s">
        <v>32</v>
      </c>
      <c r="E7" s="4" t="s">
        <v>88</v>
      </c>
      <c r="F7" s="4" t="s">
        <v>89</v>
      </c>
      <c r="G7" s="4" t="s">
        <v>90</v>
      </c>
      <c r="H7" s="4" t="s">
        <v>91</v>
      </c>
      <c r="I7" s="4" t="s">
        <v>58</v>
      </c>
      <c r="J7" s="4" t="s">
        <v>59</v>
      </c>
      <c r="K7" s="4" t="s">
        <v>19</v>
      </c>
      <c r="L7" s="4" t="s">
        <v>92</v>
      </c>
    </row>
    <row r="8" spans="1:12" ht="75" customHeight="1">
      <c r="A8" s="6" t="s">
        <v>261</v>
      </c>
      <c r="B8" s="6" t="s">
        <v>93</v>
      </c>
      <c r="C8" s="6" t="s">
        <v>87</v>
      </c>
      <c r="D8" s="6" t="s">
        <v>32</v>
      </c>
      <c r="E8" s="6" t="s">
        <v>94</v>
      </c>
      <c r="F8" s="6" t="s">
        <v>95</v>
      </c>
      <c r="G8" s="6" t="s">
        <v>96</v>
      </c>
      <c r="H8" s="6" t="s">
        <v>97</v>
      </c>
      <c r="I8" s="6" t="s">
        <v>58</v>
      </c>
      <c r="J8" s="6" t="s">
        <v>59</v>
      </c>
      <c r="K8" s="6" t="s">
        <v>19</v>
      </c>
      <c r="L8" s="6" t="s">
        <v>98</v>
      </c>
    </row>
    <row r="9" spans="1:12" ht="75" customHeight="1">
      <c r="A9" s="6" t="s">
        <v>262</v>
      </c>
      <c r="B9" s="4" t="s">
        <v>99</v>
      </c>
      <c r="C9" s="4" t="s">
        <v>87</v>
      </c>
      <c r="D9" s="4" t="s">
        <v>32</v>
      </c>
      <c r="E9" s="4" t="s">
        <v>100</v>
      </c>
      <c r="F9" s="4" t="s">
        <v>101</v>
      </c>
      <c r="G9" s="4" t="s">
        <v>102</v>
      </c>
      <c r="H9" s="4" t="s">
        <v>103</v>
      </c>
      <c r="I9" s="4" t="s">
        <v>58</v>
      </c>
      <c r="J9" s="4" t="s">
        <v>59</v>
      </c>
      <c r="K9" s="4" t="s">
        <v>19</v>
      </c>
      <c r="L9" s="4" t="s">
        <v>104</v>
      </c>
    </row>
    <row r="10" spans="1:12" ht="75" customHeight="1">
      <c r="A10" s="6" t="s">
        <v>263</v>
      </c>
      <c r="B10" s="6" t="s">
        <v>105</v>
      </c>
      <c r="C10" s="6" t="s">
        <v>106</v>
      </c>
      <c r="D10" s="6" t="s">
        <v>33</v>
      </c>
      <c r="E10" s="6" t="s">
        <v>107</v>
      </c>
      <c r="F10" s="6" t="s">
        <v>108</v>
      </c>
      <c r="G10" s="6" t="s">
        <v>109</v>
      </c>
      <c r="H10" s="6" t="s">
        <v>110</v>
      </c>
      <c r="I10" s="6" t="s">
        <v>58</v>
      </c>
      <c r="J10" s="6" t="s">
        <v>59</v>
      </c>
      <c r="K10" s="6" t="s">
        <v>19</v>
      </c>
      <c r="L10" s="6" t="s">
        <v>111</v>
      </c>
    </row>
    <row r="11" spans="1:12" ht="75" customHeight="1">
      <c r="A11" s="6" t="s">
        <v>264</v>
      </c>
      <c r="B11" s="4" t="s">
        <v>112</v>
      </c>
      <c r="C11" s="4" t="s">
        <v>113</v>
      </c>
      <c r="D11" s="4" t="s">
        <v>34</v>
      </c>
      <c r="E11" s="4" t="s">
        <v>114</v>
      </c>
      <c r="F11" s="4" t="s">
        <v>115</v>
      </c>
      <c r="G11" s="4" t="s">
        <v>116</v>
      </c>
      <c r="H11" s="4" t="s">
        <v>117</v>
      </c>
      <c r="I11" s="4" t="s">
        <v>58</v>
      </c>
      <c r="J11" s="4" t="s">
        <v>59</v>
      </c>
      <c r="K11" s="4" t="s">
        <v>19</v>
      </c>
      <c r="L11" s="4" t="s">
        <v>118</v>
      </c>
    </row>
    <row r="12" spans="1:12" ht="75" customHeight="1">
      <c r="A12" s="6" t="s">
        <v>265</v>
      </c>
      <c r="B12" s="6" t="s">
        <v>119</v>
      </c>
      <c r="C12" s="6" t="s">
        <v>120</v>
      </c>
      <c r="D12" s="6" t="s">
        <v>35</v>
      </c>
      <c r="E12" s="6" t="s">
        <v>121</v>
      </c>
      <c r="F12" s="6" t="s">
        <v>122</v>
      </c>
      <c r="G12" s="6" t="s">
        <v>123</v>
      </c>
      <c r="H12" s="6" t="s">
        <v>124</v>
      </c>
      <c r="I12" s="6" t="s">
        <v>125</v>
      </c>
      <c r="J12" s="6" t="s">
        <v>126</v>
      </c>
      <c r="K12" s="6" t="s">
        <v>19</v>
      </c>
      <c r="L12" s="6" t="s">
        <v>127</v>
      </c>
    </row>
    <row r="13" spans="1:12" ht="75" customHeight="1">
      <c r="A13" s="6" t="s">
        <v>266</v>
      </c>
      <c r="B13" s="4" t="s">
        <v>128</v>
      </c>
      <c r="C13" s="4" t="s">
        <v>129</v>
      </c>
      <c r="D13" s="4" t="s">
        <v>36</v>
      </c>
      <c r="E13" s="4" t="s">
        <v>130</v>
      </c>
      <c r="F13" s="4" t="s">
        <v>131</v>
      </c>
      <c r="G13" s="4" t="s">
        <v>132</v>
      </c>
      <c r="H13" s="4" t="s">
        <v>133</v>
      </c>
      <c r="I13" s="4" t="s">
        <v>125</v>
      </c>
      <c r="J13" s="4" t="s">
        <v>126</v>
      </c>
      <c r="K13" s="4" t="s">
        <v>19</v>
      </c>
      <c r="L13" s="4" t="s">
        <v>134</v>
      </c>
    </row>
    <row r="14" spans="1:12" ht="75" customHeight="1">
      <c r="A14" s="6" t="s">
        <v>267</v>
      </c>
      <c r="B14" s="6" t="s">
        <v>135</v>
      </c>
      <c r="C14" s="6" t="s">
        <v>129</v>
      </c>
      <c r="D14" s="6" t="s">
        <v>36</v>
      </c>
      <c r="E14" s="6" t="s">
        <v>136</v>
      </c>
      <c r="F14" s="6" t="s">
        <v>137</v>
      </c>
      <c r="G14" s="6" t="s">
        <v>138</v>
      </c>
      <c r="H14" s="6" t="s">
        <v>139</v>
      </c>
      <c r="I14" s="6" t="s">
        <v>125</v>
      </c>
      <c r="J14" s="6" t="s">
        <v>126</v>
      </c>
      <c r="K14" s="6" t="s">
        <v>19</v>
      </c>
      <c r="L14" s="6" t="s">
        <v>140</v>
      </c>
    </row>
    <row r="15" spans="1:12" ht="75" customHeight="1">
      <c r="A15" s="6" t="s">
        <v>268</v>
      </c>
      <c r="B15" s="4" t="s">
        <v>141</v>
      </c>
      <c r="C15" s="4" t="s">
        <v>142</v>
      </c>
      <c r="D15" s="4" t="s">
        <v>37</v>
      </c>
      <c r="E15" s="4" t="s">
        <v>143</v>
      </c>
      <c r="F15" s="4" t="s">
        <v>144</v>
      </c>
      <c r="G15" s="4" t="s">
        <v>145</v>
      </c>
      <c r="H15" s="4" t="s">
        <v>146</v>
      </c>
      <c r="I15" s="4" t="s">
        <v>58</v>
      </c>
      <c r="J15" s="4" t="s">
        <v>59</v>
      </c>
      <c r="K15" s="4" t="s">
        <v>19</v>
      </c>
      <c r="L15" s="4" t="s">
        <v>147</v>
      </c>
    </row>
    <row r="16" spans="1:12" ht="75" customHeight="1">
      <c r="A16" s="6" t="s">
        <v>269</v>
      </c>
      <c r="B16" s="6" t="s">
        <v>148</v>
      </c>
      <c r="C16" s="6" t="s">
        <v>142</v>
      </c>
      <c r="D16" s="6" t="s">
        <v>37</v>
      </c>
      <c r="E16" s="6" t="s">
        <v>149</v>
      </c>
      <c r="F16" s="6" t="s">
        <v>150</v>
      </c>
      <c r="G16" s="6" t="s">
        <v>151</v>
      </c>
      <c r="H16" s="6" t="s">
        <v>152</v>
      </c>
      <c r="I16" s="6" t="s">
        <v>58</v>
      </c>
      <c r="J16" s="6" t="s">
        <v>59</v>
      </c>
      <c r="K16" s="6" t="s">
        <v>19</v>
      </c>
      <c r="L16" s="6" t="s">
        <v>153</v>
      </c>
    </row>
    <row r="17" spans="1:12" ht="75" customHeight="1">
      <c r="A17" s="6" t="s">
        <v>270</v>
      </c>
      <c r="B17" s="4" t="s">
        <v>154</v>
      </c>
      <c r="C17" s="4" t="s">
        <v>142</v>
      </c>
      <c r="D17" s="4" t="s">
        <v>37</v>
      </c>
      <c r="E17" s="4" t="s">
        <v>155</v>
      </c>
      <c r="F17" s="4" t="s">
        <v>156</v>
      </c>
      <c r="G17" s="4" t="s">
        <v>157</v>
      </c>
      <c r="H17" s="4" t="s">
        <v>158</v>
      </c>
      <c r="I17" s="4" t="s">
        <v>125</v>
      </c>
      <c r="J17" s="4" t="s">
        <v>126</v>
      </c>
      <c r="K17" s="4" t="s">
        <v>19</v>
      </c>
      <c r="L17" s="4" t="s">
        <v>159</v>
      </c>
    </row>
    <row r="18" spans="1:12" ht="75" customHeight="1">
      <c r="A18" s="6" t="s">
        <v>271</v>
      </c>
      <c r="B18" s="6" t="s">
        <v>160</v>
      </c>
      <c r="C18" s="6" t="s">
        <v>142</v>
      </c>
      <c r="D18" s="6" t="s">
        <v>37</v>
      </c>
      <c r="E18" s="6" t="s">
        <v>161</v>
      </c>
      <c r="F18" s="6" t="s">
        <v>162</v>
      </c>
      <c r="G18" s="6" t="s">
        <v>163</v>
      </c>
      <c r="H18" s="6" t="s">
        <v>164</v>
      </c>
      <c r="I18" s="6" t="s">
        <v>58</v>
      </c>
      <c r="J18" s="6" t="s">
        <v>59</v>
      </c>
      <c r="K18" s="6" t="s">
        <v>19</v>
      </c>
      <c r="L18" s="6" t="s">
        <v>165</v>
      </c>
    </row>
    <row r="19" spans="1:12" ht="75" customHeight="1">
      <c r="A19" s="6" t="s">
        <v>272</v>
      </c>
      <c r="B19" s="4" t="s">
        <v>166</v>
      </c>
      <c r="C19" s="4" t="s">
        <v>142</v>
      </c>
      <c r="D19" s="4" t="s">
        <v>37</v>
      </c>
      <c r="E19" s="4" t="s">
        <v>167</v>
      </c>
      <c r="F19" s="4" t="s">
        <v>168</v>
      </c>
      <c r="G19" s="4" t="s">
        <v>169</v>
      </c>
      <c r="H19" s="4" t="s">
        <v>170</v>
      </c>
      <c r="I19" s="4" t="s">
        <v>58</v>
      </c>
      <c r="J19" s="4" t="s">
        <v>59</v>
      </c>
      <c r="K19" s="4" t="s">
        <v>19</v>
      </c>
      <c r="L19" s="4" t="s">
        <v>171</v>
      </c>
    </row>
    <row r="20" spans="1:12" ht="75" customHeight="1">
      <c r="A20" s="6" t="s">
        <v>273</v>
      </c>
      <c r="B20" s="6" t="s">
        <v>172</v>
      </c>
      <c r="C20" s="6" t="s">
        <v>142</v>
      </c>
      <c r="D20" s="6" t="s">
        <v>37</v>
      </c>
      <c r="E20" s="6" t="s">
        <v>173</v>
      </c>
      <c r="F20" s="6" t="s">
        <v>174</v>
      </c>
      <c r="G20" s="6" t="s">
        <v>175</v>
      </c>
      <c r="H20" s="6" t="s">
        <v>176</v>
      </c>
      <c r="I20" s="6" t="s">
        <v>58</v>
      </c>
      <c r="J20" s="6" t="s">
        <v>59</v>
      </c>
      <c r="K20" s="6" t="s">
        <v>19</v>
      </c>
      <c r="L20" s="6" t="s">
        <v>177</v>
      </c>
    </row>
    <row r="21" spans="1:12" ht="75" customHeight="1">
      <c r="A21" s="6" t="s">
        <v>274</v>
      </c>
      <c r="B21" s="4" t="s">
        <v>178</v>
      </c>
      <c r="C21" s="4" t="s">
        <v>179</v>
      </c>
      <c r="D21" s="4" t="s">
        <v>38</v>
      </c>
      <c r="E21" s="4" t="s">
        <v>180</v>
      </c>
      <c r="F21" s="4" t="s">
        <v>181</v>
      </c>
      <c r="G21" s="4" t="s">
        <v>182</v>
      </c>
      <c r="H21" s="4" t="s">
        <v>183</v>
      </c>
      <c r="I21" s="4" t="s">
        <v>23</v>
      </c>
      <c r="J21" s="4" t="s">
        <v>184</v>
      </c>
      <c r="K21" s="4" t="s">
        <v>19</v>
      </c>
      <c r="L21" s="4" t="s">
        <v>185</v>
      </c>
    </row>
    <row r="22" spans="1:12" ht="75" customHeight="1">
      <c r="A22" s="6" t="s">
        <v>275</v>
      </c>
      <c r="B22" s="6" t="s">
        <v>186</v>
      </c>
      <c r="C22" s="6" t="s">
        <v>179</v>
      </c>
      <c r="D22" s="6" t="s">
        <v>38</v>
      </c>
      <c r="E22" s="6" t="s">
        <v>187</v>
      </c>
      <c r="F22" s="6" t="s">
        <v>188</v>
      </c>
      <c r="G22" s="6" t="s">
        <v>189</v>
      </c>
      <c r="H22" s="6" t="s">
        <v>190</v>
      </c>
      <c r="I22" s="6" t="s">
        <v>23</v>
      </c>
      <c r="J22" s="6" t="s">
        <v>184</v>
      </c>
      <c r="K22" s="6" t="s">
        <v>19</v>
      </c>
      <c r="L22" s="6" t="s">
        <v>191</v>
      </c>
    </row>
    <row r="23" spans="1:12" ht="75" customHeight="1">
      <c r="A23" s="6" t="s">
        <v>276</v>
      </c>
      <c r="B23" s="4" t="s">
        <v>192</v>
      </c>
      <c r="C23" s="4" t="s">
        <v>179</v>
      </c>
      <c r="D23" s="4" t="s">
        <v>38</v>
      </c>
      <c r="E23" s="4" t="s">
        <v>193</v>
      </c>
      <c r="F23" s="4" t="s">
        <v>194</v>
      </c>
      <c r="G23" s="4" t="s">
        <v>195</v>
      </c>
      <c r="H23" s="4" t="s">
        <v>196</v>
      </c>
      <c r="I23" s="4" t="s">
        <v>58</v>
      </c>
      <c r="J23" s="4" t="s">
        <v>59</v>
      </c>
      <c r="K23" s="4" t="s">
        <v>19</v>
      </c>
      <c r="L23" s="4" t="s">
        <v>197</v>
      </c>
    </row>
    <row r="24" spans="1:12" ht="75" customHeight="1">
      <c r="A24" s="6" t="s">
        <v>277</v>
      </c>
      <c r="B24" s="6" t="s">
        <v>198</v>
      </c>
      <c r="C24" s="6" t="s">
        <v>179</v>
      </c>
      <c r="D24" s="6" t="s">
        <v>38</v>
      </c>
      <c r="E24" s="6" t="s">
        <v>199</v>
      </c>
      <c r="F24" s="6" t="s">
        <v>200</v>
      </c>
      <c r="G24" s="6" t="s">
        <v>201</v>
      </c>
      <c r="H24" s="6" t="s">
        <v>202</v>
      </c>
      <c r="I24" s="6" t="s">
        <v>23</v>
      </c>
      <c r="J24" s="6" t="s">
        <v>184</v>
      </c>
      <c r="K24" s="6" t="s">
        <v>19</v>
      </c>
      <c r="L24" s="6" t="s">
        <v>203</v>
      </c>
    </row>
    <row r="25" spans="1:12" ht="75" customHeight="1">
      <c r="A25" s="6" t="s">
        <v>278</v>
      </c>
      <c r="B25" s="4" t="s">
        <v>204</v>
      </c>
      <c r="C25" s="4" t="s">
        <v>179</v>
      </c>
      <c r="D25" s="4" t="s">
        <v>38</v>
      </c>
      <c r="E25" s="4" t="s">
        <v>205</v>
      </c>
      <c r="F25" s="4" t="s">
        <v>206</v>
      </c>
      <c r="G25" s="4" t="s">
        <v>207</v>
      </c>
      <c r="H25" s="4" t="s">
        <v>208</v>
      </c>
      <c r="I25" s="4" t="s">
        <v>58</v>
      </c>
      <c r="J25" s="4" t="s">
        <v>59</v>
      </c>
      <c r="K25" s="4" t="s">
        <v>19</v>
      </c>
      <c r="L25" s="4" t="s">
        <v>209</v>
      </c>
    </row>
    <row r="26" spans="1:12" ht="75" customHeight="1">
      <c r="A26" s="6" t="s">
        <v>279</v>
      </c>
      <c r="B26" s="6" t="s">
        <v>210</v>
      </c>
      <c r="C26" s="6" t="s">
        <v>179</v>
      </c>
      <c r="D26" s="6" t="s">
        <v>38</v>
      </c>
      <c r="E26" s="6" t="s">
        <v>211</v>
      </c>
      <c r="F26" s="6" t="s">
        <v>212</v>
      </c>
      <c r="G26" s="6" t="s">
        <v>213</v>
      </c>
      <c r="H26" s="6" t="s">
        <v>214</v>
      </c>
      <c r="I26" s="6" t="s">
        <v>58</v>
      </c>
      <c r="J26" s="6" t="s">
        <v>215</v>
      </c>
      <c r="K26" s="6" t="s">
        <v>19</v>
      </c>
      <c r="L26" s="6" t="s">
        <v>216</v>
      </c>
    </row>
    <row r="27" spans="1:12" ht="75" customHeight="1">
      <c r="A27" s="6" t="s">
        <v>280</v>
      </c>
      <c r="B27" s="4" t="s">
        <v>217</v>
      </c>
      <c r="C27" s="4" t="s">
        <v>218</v>
      </c>
      <c r="D27" s="4" t="s">
        <v>39</v>
      </c>
      <c r="E27" s="4" t="s">
        <v>219</v>
      </c>
      <c r="F27" s="4" t="s">
        <v>220</v>
      </c>
      <c r="G27" s="4" t="s">
        <v>221</v>
      </c>
      <c r="H27" s="4" t="s">
        <v>222</v>
      </c>
      <c r="I27" s="4" t="s">
        <v>58</v>
      </c>
      <c r="J27" s="4" t="s">
        <v>59</v>
      </c>
      <c r="K27" s="4" t="s">
        <v>19</v>
      </c>
      <c r="L27" s="4" t="s">
        <v>223</v>
      </c>
    </row>
    <row r="28" spans="1:12" ht="75" customHeight="1">
      <c r="A28" s="6" t="s">
        <v>281</v>
      </c>
      <c r="B28" s="6" t="s">
        <v>224</v>
      </c>
      <c r="C28" s="6" t="s">
        <v>218</v>
      </c>
      <c r="D28" s="6" t="s">
        <v>39</v>
      </c>
      <c r="E28" s="6" t="s">
        <v>225</v>
      </c>
      <c r="F28" s="6" t="s">
        <v>226</v>
      </c>
      <c r="G28" s="6" t="s">
        <v>227</v>
      </c>
      <c r="H28" s="6" t="s">
        <v>117</v>
      </c>
      <c r="I28" s="6" t="s">
        <v>58</v>
      </c>
      <c r="J28" s="6" t="s">
        <v>59</v>
      </c>
      <c r="K28" s="6" t="s">
        <v>19</v>
      </c>
      <c r="L28" s="6" t="s">
        <v>228</v>
      </c>
    </row>
    <row r="29" spans="1:12" ht="75" customHeight="1">
      <c r="A29" s="6" t="s">
        <v>282</v>
      </c>
      <c r="B29" s="4" t="s">
        <v>229</v>
      </c>
      <c r="C29" s="4" t="s">
        <v>218</v>
      </c>
      <c r="D29" s="4" t="s">
        <v>39</v>
      </c>
      <c r="E29" s="4" t="s">
        <v>230</v>
      </c>
      <c r="F29" s="4" t="s">
        <v>231</v>
      </c>
      <c r="G29" s="4" t="s">
        <v>232</v>
      </c>
      <c r="H29" s="4" t="s">
        <v>233</v>
      </c>
      <c r="I29" s="4" t="s">
        <v>58</v>
      </c>
      <c r="J29" s="4" t="s">
        <v>59</v>
      </c>
      <c r="K29" s="4" t="s">
        <v>19</v>
      </c>
      <c r="L29" s="4" t="s">
        <v>234</v>
      </c>
    </row>
    <row r="30" spans="1:12" ht="75" customHeight="1">
      <c r="A30" s="6" t="s">
        <v>283</v>
      </c>
      <c r="B30" s="6" t="s">
        <v>235</v>
      </c>
      <c r="C30" s="6" t="s">
        <v>236</v>
      </c>
      <c r="D30" s="6" t="s">
        <v>40</v>
      </c>
      <c r="E30" s="6" t="s">
        <v>237</v>
      </c>
      <c r="F30" s="6" t="s">
        <v>238</v>
      </c>
      <c r="G30" s="6" t="s">
        <v>239</v>
      </c>
      <c r="H30" s="6" t="s">
        <v>240</v>
      </c>
      <c r="I30" s="6" t="s">
        <v>125</v>
      </c>
      <c r="J30" s="6" t="s">
        <v>126</v>
      </c>
      <c r="K30" s="6" t="s">
        <v>19</v>
      </c>
      <c r="L30" s="6" t="s">
        <v>241</v>
      </c>
    </row>
    <row r="31" spans="1:12" ht="75" customHeight="1">
      <c r="A31" s="6" t="s">
        <v>284</v>
      </c>
      <c r="B31" s="4" t="s">
        <v>242</v>
      </c>
      <c r="C31" s="4" t="s">
        <v>236</v>
      </c>
      <c r="D31" s="4" t="s">
        <v>40</v>
      </c>
      <c r="E31" s="4" t="s">
        <v>243</v>
      </c>
      <c r="F31" s="4" t="s">
        <v>244</v>
      </c>
      <c r="G31" s="4" t="s">
        <v>245</v>
      </c>
      <c r="H31" s="4" t="s">
        <v>246</v>
      </c>
      <c r="I31" s="4" t="s">
        <v>58</v>
      </c>
      <c r="J31" s="4" t="s">
        <v>59</v>
      </c>
      <c r="K31" s="4" t="s">
        <v>19</v>
      </c>
      <c r="L31" s="4" t="s">
        <v>247</v>
      </c>
    </row>
    <row r="32" spans="1:12" ht="75" customHeight="1">
      <c r="A32" s="6" t="s">
        <v>285</v>
      </c>
      <c r="B32" s="6" t="s">
        <v>248</v>
      </c>
      <c r="C32" s="6" t="s">
        <v>249</v>
      </c>
      <c r="D32" s="6" t="s">
        <v>41</v>
      </c>
      <c r="E32" s="6" t="s">
        <v>250</v>
      </c>
      <c r="F32" s="6" t="s">
        <v>251</v>
      </c>
      <c r="G32" s="6" t="s">
        <v>252</v>
      </c>
      <c r="H32" s="6" t="s">
        <v>253</v>
      </c>
      <c r="I32" s="6" t="s">
        <v>58</v>
      </c>
      <c r="J32" s="6" t="s">
        <v>59</v>
      </c>
      <c r="K32" s="6" t="s">
        <v>19</v>
      </c>
      <c r="L32" s="6" t="s">
        <v>254</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History</vt:lpstr>
      <vt:lpstr>Bug Summary</vt:lpstr>
      <vt:lpstr>MHT CET Login 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Dhananjay Gharad</cp:lastModifiedBy>
  <dcterms:created xsi:type="dcterms:W3CDTF">2026-03-23T13:31:59Z</dcterms:created>
  <dcterms:modified xsi:type="dcterms:W3CDTF">2026-03-28T13:47:08Z</dcterms:modified>
</cp:coreProperties>
</file>